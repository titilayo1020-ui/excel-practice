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 practice\001\"/>
    </mc:Choice>
  </mc:AlternateContent>
  <xr:revisionPtr revIDLastSave="0" documentId="13_ncr:1_{2FC35690-4735-4D00-A7D6-9844506660CE}" xr6:coauthVersionLast="47" xr6:coauthVersionMax="47" xr10:uidLastSave="{00000000-0000-0000-0000-000000000000}"/>
  <bookViews>
    <workbookView xWindow="-108" yWindow="-108" windowWidth="23256" windowHeight="12720" xr2:uid="{2B923EE9-EA0C-4E81-8D33-9CDDE089A20D}"/>
  </bookViews>
  <sheets>
    <sheet name="Sheet1" sheetId="1" r:id="rId1"/>
    <sheet name="Sheet2" sheetId="3" r:id="rId2"/>
    <sheet name="Sheet3" sheetId="4" r:id="rId3"/>
  </sheets>
  <definedNames>
    <definedName name="_xlcn.WorksheetConnection_Book1Table4" hidden="1">Table4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Book1!Table4"/>
        </x15:modelTables>
        <x15:extLst>
          <ext xmlns:x16="http://schemas.microsoft.com/office/spreadsheetml/2014/11/main" uri="{9835A34E-60A6-4A7C-AAB8-D5F71C897F49}">
            <x16:modelTimeGroupings>
              <x16:modelTimeGrouping tableName="Table4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14" i="4" l="1"/>
  <c r="O15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P15" i="1"/>
  <c r="L12" i="1"/>
  <c r="AL15" i="1"/>
  <c r="AL14" i="1"/>
  <c r="AL13" i="1"/>
  <c r="AL12" i="1"/>
  <c r="AJ12" i="1"/>
  <c r="AL5" i="1"/>
  <c r="AL6" i="1"/>
  <c r="AL7" i="1"/>
  <c r="AL8" i="1"/>
  <c r="AL9" i="1"/>
  <c r="AL10" i="1"/>
  <c r="AL4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V12" i="1"/>
  <c r="V13" i="1"/>
  <c r="V14" i="1"/>
  <c r="V15" i="1"/>
  <c r="AG10" i="1"/>
  <c r="AG9" i="1"/>
  <c r="AG8" i="1"/>
  <c r="AG7" i="1"/>
  <c r="AG6" i="1"/>
  <c r="AG5" i="1"/>
  <c r="AG4" i="1"/>
  <c r="AJ10" i="1"/>
  <c r="AI9" i="1"/>
  <c r="AI10" i="1"/>
  <c r="AH10" i="1"/>
  <c r="AJ9" i="1"/>
  <c r="AH9" i="1"/>
  <c r="AJ8" i="1"/>
  <c r="AI8" i="1"/>
  <c r="AH8" i="1"/>
  <c r="AJ7" i="1"/>
  <c r="AI7" i="1"/>
  <c r="AH7" i="1"/>
  <c r="AJ6" i="1"/>
  <c r="AI6" i="1"/>
  <c r="AH6" i="1"/>
  <c r="AJ5" i="1"/>
  <c r="AI5" i="1"/>
  <c r="AH5" i="1"/>
  <c r="AJ4" i="1"/>
  <c r="AI4" i="1"/>
  <c r="AH4" i="1"/>
  <c r="AH3" i="1"/>
  <c r="AI3" i="1" s="1"/>
  <c r="AJ3" i="1" s="1"/>
  <c r="AG3" i="1"/>
  <c r="AF4" i="1"/>
  <c r="AE10" i="1"/>
  <c r="AD10" i="1"/>
  <c r="AC10" i="1"/>
  <c r="AB10" i="1"/>
  <c r="AA10" i="1"/>
  <c r="AE9" i="1"/>
  <c r="AD9" i="1"/>
  <c r="AC9" i="1"/>
  <c r="AB9" i="1"/>
  <c r="AA9" i="1"/>
  <c r="AE8" i="1"/>
  <c r="AD8" i="1"/>
  <c r="AC8" i="1"/>
  <c r="AB8" i="1"/>
  <c r="AA8" i="1"/>
  <c r="AE7" i="1"/>
  <c r="AD7" i="1"/>
  <c r="AC7" i="1"/>
  <c r="AB7" i="1"/>
  <c r="AA7" i="1"/>
  <c r="AE6" i="1"/>
  <c r="AD6" i="1"/>
  <c r="AC6" i="1"/>
  <c r="AB6" i="1"/>
  <c r="AA6" i="1"/>
  <c r="AE5" i="1"/>
  <c r="AD5" i="1"/>
  <c r="AC5" i="1"/>
  <c r="AB5" i="1"/>
  <c r="AA5" i="1"/>
  <c r="AE4" i="1"/>
  <c r="AD4" i="1"/>
  <c r="AC4" i="1"/>
  <c r="AB4" i="1"/>
  <c r="AA4" i="1"/>
  <c r="AC3" i="1"/>
  <c r="AD3" i="1" s="1"/>
  <c r="AE3" i="1" s="1"/>
  <c r="AB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W4" i="1"/>
  <c r="W10" i="1"/>
  <c r="W9" i="1"/>
  <c r="W8" i="1"/>
  <c r="W7" i="1"/>
  <c r="W6" i="1"/>
  <c r="W5" i="1"/>
  <c r="V4" i="1"/>
  <c r="W3" i="1"/>
  <c r="X3" i="1" s="1"/>
  <c r="Y3" i="1" s="1"/>
  <c r="Z3" i="1" s="1"/>
  <c r="U10" i="1"/>
  <c r="U9" i="1"/>
  <c r="U8" i="1"/>
  <c r="U7" i="1"/>
  <c r="U6" i="1"/>
  <c r="U5" i="1"/>
  <c r="U4" i="1"/>
  <c r="T10" i="1"/>
  <c r="T9" i="1"/>
  <c r="T8" i="1"/>
  <c r="T7" i="1"/>
  <c r="T6" i="1"/>
  <c r="T5" i="1"/>
  <c r="T4" i="1"/>
  <c r="S10" i="1"/>
  <c r="S9" i="1"/>
  <c r="S8" i="1"/>
  <c r="S7" i="1"/>
  <c r="S6" i="1"/>
  <c r="S5" i="1"/>
  <c r="S4" i="1"/>
  <c r="R5" i="1"/>
  <c r="Q4" i="1"/>
  <c r="R4" i="1"/>
  <c r="R10" i="1"/>
  <c r="R9" i="1"/>
  <c r="R8" i="1"/>
  <c r="R7" i="1"/>
  <c r="R6" i="1"/>
  <c r="R3" i="1"/>
  <c r="S3" i="1" s="1"/>
  <c r="T3" i="1" s="1"/>
  <c r="U3" i="1" s="1"/>
  <c r="M3" i="1"/>
  <c r="N3" i="1" s="1"/>
  <c r="O3" i="1" s="1"/>
  <c r="P3" i="1" s="1"/>
  <c r="Q5" i="1"/>
  <c r="Q6" i="1"/>
  <c r="Q7" i="1"/>
  <c r="Q8" i="1"/>
  <c r="Q9" i="1"/>
  <c r="Q10" i="1"/>
  <c r="L15" i="1"/>
  <c r="L14" i="1"/>
  <c r="L13" i="1"/>
  <c r="K14" i="1"/>
  <c r="K13" i="1"/>
  <c r="K12" i="1"/>
  <c r="V6" i="1"/>
  <c r="V7" i="1"/>
  <c r="V8" i="1"/>
  <c r="V9" i="1"/>
  <c r="V10" i="1"/>
  <c r="V5" i="1"/>
  <c r="AF10" i="1" l="1"/>
  <c r="AF6" i="1"/>
  <c r="AF7" i="1"/>
  <c r="AF8" i="1"/>
  <c r="AF9" i="1"/>
  <c r="AF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9F74D-8C41-4E02-9582-1973DC2B20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A74EFE0-7DE4-4B68-AA10-3F2B2E4FAA8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Book1Table4"/>
        </x15:connection>
      </ext>
    </extLst>
  </connection>
</connections>
</file>

<file path=xl/sharedStrings.xml><?xml version="1.0" encoding="utf-8"?>
<sst xmlns="http://schemas.openxmlformats.org/spreadsheetml/2006/main" count="37" uniqueCount="35">
  <si>
    <t>Sales</t>
  </si>
  <si>
    <t>Date</t>
  </si>
  <si>
    <t>Notes</t>
  </si>
  <si>
    <t>New Year's resolution depresses sales</t>
  </si>
  <si>
    <t>Total</t>
  </si>
  <si>
    <t>Sum of Sales</t>
  </si>
  <si>
    <t>Row Labels</t>
  </si>
  <si>
    <t>Grand Total</t>
  </si>
  <si>
    <t>Employee payroll</t>
  </si>
  <si>
    <t>Last name</t>
  </si>
  <si>
    <t>Fist name</t>
  </si>
  <si>
    <t>Hourly wage</t>
  </si>
  <si>
    <t>Hours worked</t>
  </si>
  <si>
    <t>Pay</t>
  </si>
  <si>
    <t>Kern</t>
  </si>
  <si>
    <t>John</t>
  </si>
  <si>
    <t>Glenda</t>
  </si>
  <si>
    <t>Howard</t>
  </si>
  <si>
    <t>O'Donnald</t>
  </si>
  <si>
    <t>Ron</t>
  </si>
  <si>
    <t>Wendy</t>
  </si>
  <si>
    <t>Henndandez</t>
  </si>
  <si>
    <t>Smith</t>
  </si>
  <si>
    <t>Paul</t>
  </si>
  <si>
    <t>Baker</t>
  </si>
  <si>
    <t>Tom</t>
  </si>
  <si>
    <t>Nancy</t>
  </si>
  <si>
    <t>Velinda</t>
  </si>
  <si>
    <t>Max</t>
  </si>
  <si>
    <t>Min</t>
  </si>
  <si>
    <t>Average</t>
  </si>
  <si>
    <t>Ms Mimi</t>
  </si>
  <si>
    <t>Overtime hours</t>
  </si>
  <si>
    <t>Overtime bonus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</si>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</sst>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6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44" fontId="0" fillId="0" borderId="0" xfId="2" applyFont="1"/>
    <xf numFmtId="44" fontId="0" fillId="0" borderId="0" xfId="0" applyNumberFormat="1"/>
    <xf numFmtId="165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21" formatCode="d\-mmm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1.xlsx]Sheet2!PivotTable4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1/1/2023</c:v>
                </c:pt>
                <c:pt idx="1">
                  <c:v>2/1/2023</c:v>
                </c:pt>
                <c:pt idx="2">
                  <c:v>3/1/2023</c:v>
                </c:pt>
                <c:pt idx="3">
                  <c:v>4/1/2023</c:v>
                </c:pt>
                <c:pt idx="4">
                  <c:v>5/1/2023</c:v>
                </c:pt>
                <c:pt idx="5">
                  <c:v>6/1/2023</c:v>
                </c:pt>
                <c:pt idx="6">
                  <c:v>7/1/2023</c:v>
                </c:pt>
                <c:pt idx="7">
                  <c:v>8/1/2023</c:v>
                </c:pt>
                <c:pt idx="8">
                  <c:v>9/1/2023</c:v>
                </c:pt>
                <c:pt idx="9">
                  <c:v>10/1/2023</c:v>
                </c:pt>
                <c:pt idx="10">
                  <c:v>11/1/2023</c:v>
                </c:pt>
                <c:pt idx="11">
                  <c:v>12/1/2023</c:v>
                </c:pt>
              </c:strCache>
            </c:strRef>
          </c:cat>
          <c:val>
            <c:numRef>
              <c:f>Sheet2!$B$4:$B$16</c:f>
              <c:numCache>
                <c:formatCode>0.00%</c:formatCode>
                <c:ptCount val="12"/>
                <c:pt idx="0">
                  <c:v>1.0151768945738795E-2</c:v>
                </c:pt>
                <c:pt idx="1">
                  <c:v>5.5651997360540072E-2</c:v>
                </c:pt>
                <c:pt idx="2">
                  <c:v>0.13005431196385969</c:v>
                </c:pt>
                <c:pt idx="3">
                  <c:v>8.1934927161057811E-2</c:v>
                </c:pt>
                <c:pt idx="4">
                  <c:v>4.6190548703111518E-2</c:v>
                </c:pt>
                <c:pt idx="5">
                  <c:v>5.3773920105578396E-2</c:v>
                </c:pt>
                <c:pt idx="6">
                  <c:v>0.11034972844018071</c:v>
                </c:pt>
                <c:pt idx="7">
                  <c:v>0.10816709811684685</c:v>
                </c:pt>
                <c:pt idx="8">
                  <c:v>6.6727577280341094E-2</c:v>
                </c:pt>
                <c:pt idx="9">
                  <c:v>4.3520633470382215E-2</c:v>
                </c:pt>
                <c:pt idx="10">
                  <c:v>5.4667275772803413E-2</c:v>
                </c:pt>
                <c:pt idx="11">
                  <c:v>0.2388102126795594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A-45AE-8E85-3AB0F862D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85768"/>
        <c:axId val="125474968"/>
      </c:barChart>
      <c:catAx>
        <c:axId val="12548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968"/>
        <c:crosses val="autoZero"/>
        <c:auto val="1"/>
        <c:lblAlgn val="ctr"/>
        <c:lblOffset val="100"/>
        <c:noMultiLvlLbl val="0"/>
      </c:catAx>
      <c:valAx>
        <c:axId val="12547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02068289233076"/>
          <c:y val="0.13146163492341553"/>
          <c:w val="0.84732152230971125"/>
          <c:h val="0.7095913531641877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Sheet1!$A$2:$A$13</c:f>
              <c:numCache>
                <c:formatCode>d\-mmm</c:formatCode>
                <c:ptCount val="12"/>
              </c:numCache>
            </c:numRef>
          </c:cat>
          <c:val>
            <c:numRef>
              <c:f>Sheet1!$B$2:$B$13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6-4332-92C3-2C72BFB410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6379856"/>
        <c:axId val="546378416"/>
      </c:lineChart>
      <c:catAx>
        <c:axId val="5463798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78416"/>
        <c:crosses val="autoZero"/>
        <c:auto val="1"/>
        <c:lblAlgn val="ctr"/>
        <c:lblOffset val="100"/>
        <c:noMultiLvlLbl val="0"/>
      </c:catAx>
      <c:valAx>
        <c:axId val="5463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148590</xdr:rowOff>
    </xdr:from>
    <xdr:to>
      <xdr:col>10</xdr:col>
      <xdr:colOff>251460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BAE15-7B4E-7BC6-8BEC-37D8569E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2</xdr:row>
      <xdr:rowOff>0</xdr:rowOff>
    </xdr:from>
    <xdr:to>
      <xdr:col>10</xdr:col>
      <xdr:colOff>541020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9811E-553C-4E87-BBD5-04011D6A7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50.993371875004" backgroundQuery="1" createdVersion="8" refreshedVersion="8" minRefreshableVersion="3" recordCount="0" supportSubquery="1" supportAdvancedDrill="1" xr:uid="{D998000A-6157-4B77-A727-7E26ECBBD863}">
  <cacheSource type="external" connectionId="1"/>
  <cacheFields count="2">
    <cacheField name="[Measures].[Sum of Sales]" caption="Sum of Sales" numFmtId="0" hierarchy="6" level="32767"/>
    <cacheField name="[Table4].[Date].[Date]" caption="Date" numFmtId="0" level="1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</cacheField>
  </cacheFields>
  <cacheHierarchies count="8">
    <cacheHierarchy uniqueName="[Table4].[Date]" caption="Date" attribute="1" time="1" defaultMemberUniqueName="[Table4].[Date].[All]" allUniqueName="[Table4].[Date].[All]" dimensionUniqueName="[Table4]" displayFolder="" count="2" memberValueDatatype="7" unbalanced="0">
      <fieldsUsage count="2">
        <fieldUsage x="-1"/>
        <fieldUsage x="1"/>
      </fieldsUsage>
    </cacheHierarchy>
    <cacheHierarchy uniqueName="[Table4].[Sales]" caption="Sales" attribute="1" defaultMemberUniqueName="[Table4].[Sales].[All]" allUniqueName="[Table4].[Sales].[All]" dimensionUniqueName="[Table4]" displayFolder="" count="0" memberValueDatatype="20" unbalanced="0"/>
    <cacheHierarchy uniqueName="[Table4].[Date (Month)]" caption="Date (Month)" attribute="1" defaultMemberUniqueName="[Table4].[Date (Month)].[All]" allUniqueName="[Table4].[Date (Month)].[All]" dimensionUniqueName="[Table4]" displayFolder="" count="2" memberValueDatatype="130" unbalanced="0"/>
    <cacheHierarchy uniqueName="[Table4].[Date (Month Index)]" caption="Date (Month Index)" attribute="1" defaultMemberUniqueName="[Table4].[Date (Month Index)].[All]" allUniqueName="[Table4].[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4" uniqueName="[Table4]" caption="Table4"/>
  </dimensions>
  <measureGroups count="1">
    <measureGroup name="Table4" caption="Table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0F703-933F-4FAA-9B7C-2257B61C814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0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1671F-A221-4DED-B2BD-AB95AF65F2A4}" name="Table42" displayName="Table42" ref="A1:B14" totalsRowCount="1">
  <autoFilter ref="A1:B13" xr:uid="{D031671F-A221-4DED-B2BD-AB95AF65F2A4}"/>
  <sortState xmlns:xlrd2="http://schemas.microsoft.com/office/spreadsheetml/2017/richdata2" ref="A2:B13">
    <sortCondition ref="A1:A13"/>
  </sortState>
  <tableColumns count="2">
    <tableColumn id="1" xr3:uid="{09EFC2D5-2592-4AE8-B0D0-2780BBDCDF0B}" name="Date" totalsRowLabel="Total" dataDxfId="2"/>
    <tableColumn id="2" xr3:uid="{4E15AB47-94E1-4040-B9D1-6E4739B48F6B}" name="Sales" totalsRowFunction="sum" dataDxfId="0" totalsRow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9856-F55A-4D8E-B63D-8603875C1F26}">
  <sheetPr>
    <pageSetUpPr fitToPage="1"/>
  </sheetPr>
  <dimension ref="A1:AM15"/>
  <sheetViews>
    <sheetView tabSelected="1" zoomScale="90" zoomScaleNormal="99" workbookViewId="0">
      <selection activeCell="AJ10" sqref="AJ10"/>
    </sheetView>
  </sheetViews>
  <sheetFormatPr defaultRowHeight="14.4" x14ac:dyDescent="0.3"/>
  <cols>
    <col min="1" max="1" width="7.5546875" bestFit="1" customWidth="1"/>
    <col min="2" max="2" width="17.5546875" customWidth="1"/>
    <col min="3" max="3" width="3.5546875" customWidth="1"/>
    <col min="4" max="4" width="8.77734375" customWidth="1"/>
    <col min="9" max="9" width="15.109375" bestFit="1" customWidth="1"/>
    <col min="10" max="10" width="10.77734375" customWidth="1"/>
    <col min="11" max="11" width="12" customWidth="1"/>
    <col min="12" max="15" width="12.5546875" customWidth="1"/>
    <col min="16" max="16" width="19.109375" customWidth="1"/>
    <col min="17" max="21" width="14.33203125" customWidth="1"/>
    <col min="22" max="22" width="11" customWidth="1"/>
    <col min="23" max="23" width="13.44140625" customWidth="1"/>
    <col min="24" max="24" width="12.5546875" customWidth="1"/>
    <col min="25" max="26" width="11" customWidth="1"/>
    <col min="27" max="31" width="15.109375" customWidth="1"/>
    <col min="32" max="32" width="11.109375" customWidth="1"/>
    <col min="33" max="34" width="11.77734375" customWidth="1"/>
    <col min="35" max="35" width="11.21875" customWidth="1"/>
    <col min="36" max="36" width="10.44140625" customWidth="1"/>
    <col min="38" max="38" width="12" customWidth="1"/>
  </cols>
  <sheetData>
    <row r="1" spans="1:39" x14ac:dyDescent="0.3">
      <c r="C1" t="s">
        <v>2</v>
      </c>
      <c r="I1" t="s">
        <v>8</v>
      </c>
      <c r="K1" t="s">
        <v>31</v>
      </c>
    </row>
    <row r="2" spans="1:39" x14ac:dyDescent="0.3">
      <c r="A2" s="1"/>
      <c r="B2" s="2"/>
      <c r="C2" t="s">
        <v>3</v>
      </c>
      <c r="L2" t="s">
        <v>12</v>
      </c>
      <c r="Q2" t="s">
        <v>32</v>
      </c>
      <c r="V2" t="s">
        <v>13</v>
      </c>
      <c r="AA2" t="s">
        <v>33</v>
      </c>
      <c r="AF2" t="s">
        <v>4</v>
      </c>
    </row>
    <row r="3" spans="1:39" x14ac:dyDescent="0.3">
      <c r="A3" s="1"/>
      <c r="B3" s="2"/>
      <c r="I3" t="s">
        <v>9</v>
      </c>
      <c r="J3" t="s">
        <v>10</v>
      </c>
      <c r="K3" t="s">
        <v>11</v>
      </c>
      <c r="L3" s="11">
        <v>45658</v>
      </c>
      <c r="M3" s="11">
        <f>L3+7</f>
        <v>45665</v>
      </c>
      <c r="N3" s="11">
        <f t="shared" ref="N3:P3" si="0">M3+7</f>
        <v>45672</v>
      </c>
      <c r="O3" s="11">
        <f t="shared" si="0"/>
        <v>45679</v>
      </c>
      <c r="P3" s="11">
        <f t="shared" si="0"/>
        <v>45686</v>
      </c>
      <c r="Q3" s="13">
        <v>45658</v>
      </c>
      <c r="R3" s="13">
        <f>Q3+7</f>
        <v>45665</v>
      </c>
      <c r="S3" s="13">
        <f t="shared" ref="S3:U3" si="1">R3+7</f>
        <v>45672</v>
      </c>
      <c r="T3" s="13">
        <f t="shared" si="1"/>
        <v>45679</v>
      </c>
      <c r="U3" s="13">
        <f t="shared" si="1"/>
        <v>45686</v>
      </c>
      <c r="V3" s="15">
        <v>45658</v>
      </c>
      <c r="W3" s="15">
        <f>V3+7</f>
        <v>45665</v>
      </c>
      <c r="X3" s="15">
        <f t="shared" ref="X3:Z3" si="2">W3+7</f>
        <v>45672</v>
      </c>
      <c r="Y3" s="15">
        <f t="shared" si="2"/>
        <v>45679</v>
      </c>
      <c r="Z3" s="15">
        <f t="shared" si="2"/>
        <v>45686</v>
      </c>
      <c r="AA3" s="17">
        <v>45658</v>
      </c>
      <c r="AB3" s="17">
        <f>AA3+7</f>
        <v>45665</v>
      </c>
      <c r="AC3" s="17">
        <f t="shared" ref="AC3:AE3" si="3">AB3+7</f>
        <v>45672</v>
      </c>
      <c r="AD3" s="17">
        <f t="shared" si="3"/>
        <v>45679</v>
      </c>
      <c r="AE3" s="17">
        <f t="shared" si="3"/>
        <v>45686</v>
      </c>
      <c r="AF3" s="19">
        <v>45658</v>
      </c>
      <c r="AG3" s="19">
        <f>AF3+7</f>
        <v>45665</v>
      </c>
      <c r="AH3" s="19">
        <f t="shared" ref="AH3:AJ3" si="4">AG3+7</f>
        <v>45672</v>
      </c>
      <c r="AI3" s="19">
        <f t="shared" si="4"/>
        <v>45679</v>
      </c>
      <c r="AJ3" s="19">
        <f t="shared" si="4"/>
        <v>45686</v>
      </c>
      <c r="AL3" s="9" t="s">
        <v>34</v>
      </c>
    </row>
    <row r="4" spans="1:39" x14ac:dyDescent="0.3">
      <c r="A4" s="1"/>
      <c r="B4" s="2"/>
      <c r="I4" t="s">
        <v>14</v>
      </c>
      <c r="J4" t="s">
        <v>15</v>
      </c>
      <c r="K4" s="8">
        <v>15.9</v>
      </c>
      <c r="L4" s="12">
        <v>41</v>
      </c>
      <c r="M4" s="12">
        <v>42</v>
      </c>
      <c r="N4" s="12">
        <v>39</v>
      </c>
      <c r="O4" s="12">
        <v>30</v>
      </c>
      <c r="P4" s="12">
        <v>46</v>
      </c>
      <c r="Q4" s="14">
        <f t="shared" ref="Q4:U10" si="5">IF(L4&gt;40,L4-40,0)</f>
        <v>1</v>
      </c>
      <c r="R4" s="14">
        <f t="shared" si="5"/>
        <v>2</v>
      </c>
      <c r="S4" s="14">
        <f t="shared" si="5"/>
        <v>0</v>
      </c>
      <c r="T4" s="14">
        <f t="shared" si="5"/>
        <v>0</v>
      </c>
      <c r="U4" s="14">
        <f t="shared" si="5"/>
        <v>6</v>
      </c>
      <c r="V4" s="16">
        <f>$K4*L4</f>
        <v>651.9</v>
      </c>
      <c r="W4" s="16">
        <f>$K4*M4</f>
        <v>667.80000000000007</v>
      </c>
      <c r="X4" s="16">
        <f>$K4*N4</f>
        <v>620.1</v>
      </c>
      <c r="Y4" s="16">
        <f t="shared" ref="Y4:Z4" si="6">$K4*O4</f>
        <v>477</v>
      </c>
      <c r="Z4" s="16">
        <f t="shared" si="6"/>
        <v>731.4</v>
      </c>
      <c r="AA4" s="18">
        <f>0.5*$K4*Q4</f>
        <v>7.95</v>
      </c>
      <c r="AB4" s="18">
        <f t="shared" ref="AB4:AB10" si="7">0.5*$K4*R4</f>
        <v>15.9</v>
      </c>
      <c r="AC4" s="18">
        <f t="shared" ref="AC4:AC10" si="8">0.5*$K4*S4</f>
        <v>0</v>
      </c>
      <c r="AD4" s="18">
        <f t="shared" ref="AD4:AD10" si="9">0.5*$K4*T4</f>
        <v>0</v>
      </c>
      <c r="AE4" s="18">
        <f t="shared" ref="AE4:AE10" si="10">0.5*$K4*U4</f>
        <v>47.7</v>
      </c>
      <c r="AF4" s="20">
        <f>V4+AA4</f>
        <v>659.85</v>
      </c>
      <c r="AG4" s="20">
        <f>W4+AB4</f>
        <v>683.7</v>
      </c>
      <c r="AH4" s="20">
        <f t="shared" ref="AH4:AJ10" si="11">X4+AC4</f>
        <v>620.1</v>
      </c>
      <c r="AI4" s="20">
        <f t="shared" si="11"/>
        <v>477</v>
      </c>
      <c r="AJ4" s="20">
        <f t="shared" si="11"/>
        <v>779.1</v>
      </c>
      <c r="AL4" s="9">
        <f>SUM(AF4:AJ4)</f>
        <v>3219.75</v>
      </c>
    </row>
    <row r="5" spans="1:39" x14ac:dyDescent="0.3">
      <c r="A5" s="1"/>
      <c r="B5" s="2"/>
      <c r="I5" t="s">
        <v>17</v>
      </c>
      <c r="J5" t="s">
        <v>16</v>
      </c>
      <c r="K5" s="8">
        <v>10</v>
      </c>
      <c r="L5" s="12">
        <v>42</v>
      </c>
      <c r="M5" s="12">
        <v>41</v>
      </c>
      <c r="N5" s="12">
        <v>40</v>
      </c>
      <c r="O5" s="12">
        <v>38</v>
      </c>
      <c r="P5" s="12">
        <v>44</v>
      </c>
      <c r="Q5" s="14">
        <f t="shared" si="5"/>
        <v>2</v>
      </c>
      <c r="R5" s="14">
        <f t="shared" si="5"/>
        <v>1</v>
      </c>
      <c r="S5" s="14">
        <f t="shared" si="5"/>
        <v>0</v>
      </c>
      <c r="T5" s="14">
        <f t="shared" si="5"/>
        <v>0</v>
      </c>
      <c r="U5" s="14">
        <f t="shared" si="5"/>
        <v>4</v>
      </c>
      <c r="V5" s="16">
        <f t="shared" ref="V5:W10" si="12">K5*L5</f>
        <v>420</v>
      </c>
      <c r="W5" s="16">
        <f t="shared" si="12"/>
        <v>1722</v>
      </c>
      <c r="X5" s="16">
        <f t="shared" ref="X5:Z10" si="13">M5*N5</f>
        <v>1640</v>
      </c>
      <c r="Y5" s="16">
        <f t="shared" si="13"/>
        <v>1520</v>
      </c>
      <c r="Z5" s="16">
        <f t="shared" si="13"/>
        <v>1672</v>
      </c>
      <c r="AA5" s="18">
        <f t="shared" ref="AA5:AA10" si="14">0.5*$K5*Q5</f>
        <v>10</v>
      </c>
      <c r="AB5" s="18">
        <f t="shared" si="7"/>
        <v>5</v>
      </c>
      <c r="AC5" s="18">
        <f t="shared" si="8"/>
        <v>0</v>
      </c>
      <c r="AD5" s="18">
        <f t="shared" si="9"/>
        <v>0</v>
      </c>
      <c r="AE5" s="18">
        <f t="shared" si="10"/>
        <v>20</v>
      </c>
      <c r="AF5" s="20">
        <f t="shared" ref="AF5:AG10" si="15">V5+AA5</f>
        <v>430</v>
      </c>
      <c r="AG5" s="20">
        <f t="shared" si="15"/>
        <v>1727</v>
      </c>
      <c r="AH5" s="20">
        <f t="shared" si="11"/>
        <v>1640</v>
      </c>
      <c r="AI5" s="20">
        <f t="shared" si="11"/>
        <v>1520</v>
      </c>
      <c r="AJ5" s="20">
        <f t="shared" si="11"/>
        <v>1692</v>
      </c>
      <c r="AL5" s="9">
        <f t="shared" ref="AL5:AL10" si="16">SUM(AF5:AJ5)</f>
        <v>7009</v>
      </c>
    </row>
    <row r="6" spans="1:39" x14ac:dyDescent="0.3">
      <c r="A6" s="1"/>
      <c r="B6" s="2"/>
      <c r="I6" t="s">
        <v>18</v>
      </c>
      <c r="J6" t="s">
        <v>19</v>
      </c>
      <c r="K6" s="8">
        <v>22.1</v>
      </c>
      <c r="L6" s="12">
        <v>49</v>
      </c>
      <c r="M6" s="12">
        <v>40</v>
      </c>
      <c r="N6" s="12">
        <v>33</v>
      </c>
      <c r="O6" s="12">
        <v>20</v>
      </c>
      <c r="P6" s="12">
        <v>18</v>
      </c>
      <c r="Q6" s="14">
        <f t="shared" si="5"/>
        <v>9</v>
      </c>
      <c r="R6" s="14">
        <f t="shared" si="5"/>
        <v>0</v>
      </c>
      <c r="S6" s="14">
        <f t="shared" si="5"/>
        <v>0</v>
      </c>
      <c r="T6" s="14">
        <f t="shared" si="5"/>
        <v>0</v>
      </c>
      <c r="U6" s="14">
        <f t="shared" si="5"/>
        <v>0</v>
      </c>
      <c r="V6" s="16">
        <f t="shared" si="12"/>
        <v>1082.9000000000001</v>
      </c>
      <c r="W6" s="16">
        <f t="shared" si="12"/>
        <v>1960</v>
      </c>
      <c r="X6" s="16">
        <f t="shared" si="13"/>
        <v>1320</v>
      </c>
      <c r="Y6" s="16">
        <f t="shared" si="13"/>
        <v>660</v>
      </c>
      <c r="Z6" s="16">
        <f t="shared" si="13"/>
        <v>360</v>
      </c>
      <c r="AA6" s="18">
        <f t="shared" si="14"/>
        <v>99.45</v>
      </c>
      <c r="AB6" s="18">
        <f t="shared" si="7"/>
        <v>0</v>
      </c>
      <c r="AC6" s="18">
        <f t="shared" si="8"/>
        <v>0</v>
      </c>
      <c r="AD6" s="18">
        <f t="shared" si="9"/>
        <v>0</v>
      </c>
      <c r="AE6" s="18">
        <f t="shared" si="10"/>
        <v>0</v>
      </c>
      <c r="AF6" s="20">
        <f t="shared" si="15"/>
        <v>1182.3500000000001</v>
      </c>
      <c r="AG6" s="20">
        <f t="shared" si="15"/>
        <v>1960</v>
      </c>
      <c r="AH6" s="20">
        <f t="shared" si="11"/>
        <v>1320</v>
      </c>
      <c r="AI6" s="20">
        <f t="shared" si="11"/>
        <v>660</v>
      </c>
      <c r="AJ6" s="20">
        <f t="shared" si="11"/>
        <v>360</v>
      </c>
      <c r="AL6" s="9">
        <f t="shared" si="16"/>
        <v>5482.35</v>
      </c>
    </row>
    <row r="7" spans="1:39" x14ac:dyDescent="0.3">
      <c r="A7" s="1"/>
      <c r="B7" s="2"/>
      <c r="I7" t="s">
        <v>21</v>
      </c>
      <c r="J7" t="s">
        <v>20</v>
      </c>
      <c r="K7" s="8">
        <v>19.100000000000001</v>
      </c>
      <c r="L7" s="12">
        <v>41</v>
      </c>
      <c r="M7" s="12">
        <v>50</v>
      </c>
      <c r="N7" s="12">
        <v>47</v>
      </c>
      <c r="O7" s="12">
        <v>30</v>
      </c>
      <c r="P7" s="12">
        <v>39</v>
      </c>
      <c r="Q7" s="14">
        <f t="shared" si="5"/>
        <v>1</v>
      </c>
      <c r="R7" s="14">
        <f t="shared" si="5"/>
        <v>10</v>
      </c>
      <c r="S7" s="14">
        <f t="shared" si="5"/>
        <v>7</v>
      </c>
      <c r="T7" s="14">
        <f t="shared" si="5"/>
        <v>0</v>
      </c>
      <c r="U7" s="14">
        <f t="shared" si="5"/>
        <v>0</v>
      </c>
      <c r="V7" s="16">
        <f t="shared" si="12"/>
        <v>783.1</v>
      </c>
      <c r="W7" s="16">
        <f t="shared" si="12"/>
        <v>2050</v>
      </c>
      <c r="X7" s="16">
        <f t="shared" si="13"/>
        <v>2350</v>
      </c>
      <c r="Y7" s="16">
        <f t="shared" si="13"/>
        <v>1410</v>
      </c>
      <c r="Z7" s="16">
        <f t="shared" si="13"/>
        <v>1170</v>
      </c>
      <c r="AA7" s="18">
        <f t="shared" si="14"/>
        <v>9.5500000000000007</v>
      </c>
      <c r="AB7" s="18">
        <f t="shared" si="7"/>
        <v>95.5</v>
      </c>
      <c r="AC7" s="18">
        <f t="shared" si="8"/>
        <v>66.850000000000009</v>
      </c>
      <c r="AD7" s="18">
        <f t="shared" si="9"/>
        <v>0</v>
      </c>
      <c r="AE7" s="18">
        <f t="shared" si="10"/>
        <v>0</v>
      </c>
      <c r="AF7" s="20">
        <f t="shared" si="15"/>
        <v>792.65</v>
      </c>
      <c r="AG7" s="20">
        <f t="shared" si="15"/>
        <v>2145.5</v>
      </c>
      <c r="AH7" s="20">
        <f t="shared" si="11"/>
        <v>2416.85</v>
      </c>
      <c r="AI7" s="20">
        <f t="shared" si="11"/>
        <v>1410</v>
      </c>
      <c r="AJ7" s="20">
        <f t="shared" si="11"/>
        <v>1170</v>
      </c>
      <c r="AL7" s="9">
        <f t="shared" si="16"/>
        <v>7935</v>
      </c>
    </row>
    <row r="8" spans="1:39" x14ac:dyDescent="0.3">
      <c r="A8" s="1"/>
      <c r="B8" s="2"/>
      <c r="I8" t="s">
        <v>22</v>
      </c>
      <c r="J8" t="s">
        <v>23</v>
      </c>
      <c r="K8" s="8">
        <v>6.9</v>
      </c>
      <c r="L8" s="12">
        <v>39</v>
      </c>
      <c r="M8" s="12">
        <v>52</v>
      </c>
      <c r="N8" s="12">
        <v>42</v>
      </c>
      <c r="O8" s="12">
        <v>40</v>
      </c>
      <c r="P8" s="12">
        <v>40</v>
      </c>
      <c r="Q8" s="14">
        <f t="shared" si="5"/>
        <v>0</v>
      </c>
      <c r="R8" s="14">
        <f t="shared" si="5"/>
        <v>12</v>
      </c>
      <c r="S8" s="14">
        <f t="shared" si="5"/>
        <v>2</v>
      </c>
      <c r="T8" s="14">
        <f t="shared" si="5"/>
        <v>0</v>
      </c>
      <c r="U8" s="14">
        <f t="shared" si="5"/>
        <v>0</v>
      </c>
      <c r="V8" s="16">
        <f t="shared" si="12"/>
        <v>269.10000000000002</v>
      </c>
      <c r="W8" s="16">
        <f t="shared" si="12"/>
        <v>2028</v>
      </c>
      <c r="X8" s="16">
        <f t="shared" si="13"/>
        <v>2184</v>
      </c>
      <c r="Y8" s="16">
        <f t="shared" si="13"/>
        <v>1680</v>
      </c>
      <c r="Z8" s="16">
        <f t="shared" si="13"/>
        <v>1600</v>
      </c>
      <c r="AA8" s="18">
        <f t="shared" si="14"/>
        <v>0</v>
      </c>
      <c r="AB8" s="18">
        <f t="shared" si="7"/>
        <v>41.400000000000006</v>
      </c>
      <c r="AC8" s="18">
        <f t="shared" si="8"/>
        <v>6.9</v>
      </c>
      <c r="AD8" s="18">
        <f t="shared" si="9"/>
        <v>0</v>
      </c>
      <c r="AE8" s="18">
        <f t="shared" si="10"/>
        <v>0</v>
      </c>
      <c r="AF8" s="20">
        <f t="shared" si="15"/>
        <v>269.10000000000002</v>
      </c>
      <c r="AG8" s="20">
        <f t="shared" si="15"/>
        <v>2069.4</v>
      </c>
      <c r="AH8" s="20">
        <f t="shared" si="11"/>
        <v>2190.9</v>
      </c>
      <c r="AI8" s="20">
        <f t="shared" si="11"/>
        <v>1680</v>
      </c>
      <c r="AJ8" s="20">
        <f t="shared" si="11"/>
        <v>1600</v>
      </c>
      <c r="AL8" s="9">
        <f t="shared" si="16"/>
        <v>7809.4</v>
      </c>
    </row>
    <row r="9" spans="1:39" x14ac:dyDescent="0.3">
      <c r="A9" s="1"/>
      <c r="B9" s="2"/>
      <c r="I9" t="s">
        <v>24</v>
      </c>
      <c r="J9" t="s">
        <v>25</v>
      </c>
      <c r="K9" s="8">
        <v>14.2</v>
      </c>
      <c r="L9" s="12">
        <v>44</v>
      </c>
      <c r="M9" s="12">
        <v>51</v>
      </c>
      <c r="N9" s="12">
        <v>42</v>
      </c>
      <c r="O9" s="12">
        <v>40</v>
      </c>
      <c r="P9" s="12">
        <v>20</v>
      </c>
      <c r="Q9" s="14">
        <f t="shared" si="5"/>
        <v>4</v>
      </c>
      <c r="R9" s="14">
        <f t="shared" si="5"/>
        <v>11</v>
      </c>
      <c r="S9" s="14">
        <f t="shared" si="5"/>
        <v>2</v>
      </c>
      <c r="T9" s="14">
        <f t="shared" si="5"/>
        <v>0</v>
      </c>
      <c r="U9" s="14">
        <f t="shared" si="5"/>
        <v>0</v>
      </c>
      <c r="V9" s="16">
        <f t="shared" si="12"/>
        <v>624.79999999999995</v>
      </c>
      <c r="W9" s="16">
        <f t="shared" si="12"/>
        <v>2244</v>
      </c>
      <c r="X9" s="16">
        <f t="shared" si="13"/>
        <v>2142</v>
      </c>
      <c r="Y9" s="16">
        <f t="shared" si="13"/>
        <v>1680</v>
      </c>
      <c r="Z9" s="16">
        <f t="shared" si="13"/>
        <v>800</v>
      </c>
      <c r="AA9" s="18">
        <f t="shared" si="14"/>
        <v>28.4</v>
      </c>
      <c r="AB9" s="18">
        <f t="shared" si="7"/>
        <v>78.099999999999994</v>
      </c>
      <c r="AC9" s="18">
        <f t="shared" si="8"/>
        <v>14.2</v>
      </c>
      <c r="AD9" s="18">
        <f t="shared" si="9"/>
        <v>0</v>
      </c>
      <c r="AE9" s="18">
        <f t="shared" si="10"/>
        <v>0</v>
      </c>
      <c r="AF9" s="20">
        <f t="shared" si="15"/>
        <v>653.19999999999993</v>
      </c>
      <c r="AG9" s="20">
        <f t="shared" si="15"/>
        <v>2322.1</v>
      </c>
      <c r="AH9" s="20">
        <f t="shared" si="11"/>
        <v>2156.1999999999998</v>
      </c>
      <c r="AI9" s="20">
        <f>Y9+AD9</f>
        <v>1680</v>
      </c>
      <c r="AJ9" s="20">
        <f t="shared" si="11"/>
        <v>800</v>
      </c>
      <c r="AL9" s="9">
        <f t="shared" si="16"/>
        <v>7611.5</v>
      </c>
    </row>
    <row r="10" spans="1:39" x14ac:dyDescent="0.3">
      <c r="A10" s="1"/>
      <c r="B10" s="2"/>
      <c r="I10" t="s">
        <v>27</v>
      </c>
      <c r="J10" t="s">
        <v>26</v>
      </c>
      <c r="K10" s="8">
        <v>18</v>
      </c>
      <c r="L10" s="12">
        <v>55</v>
      </c>
      <c r="M10" s="12">
        <v>60</v>
      </c>
      <c r="N10" s="12">
        <v>45</v>
      </c>
      <c r="O10" s="12">
        <v>40</v>
      </c>
      <c r="P10" s="12">
        <v>49</v>
      </c>
      <c r="Q10" s="14">
        <f t="shared" si="5"/>
        <v>15</v>
      </c>
      <c r="R10" s="14">
        <f t="shared" si="5"/>
        <v>20</v>
      </c>
      <c r="S10" s="14">
        <f t="shared" si="5"/>
        <v>5</v>
      </c>
      <c r="T10" s="14">
        <f t="shared" si="5"/>
        <v>0</v>
      </c>
      <c r="U10" s="14">
        <f t="shared" si="5"/>
        <v>9</v>
      </c>
      <c r="V10" s="16">
        <f t="shared" si="12"/>
        <v>990</v>
      </c>
      <c r="W10" s="16">
        <f t="shared" si="12"/>
        <v>3300</v>
      </c>
      <c r="X10" s="16">
        <f t="shared" si="13"/>
        <v>2700</v>
      </c>
      <c r="Y10" s="16">
        <f t="shared" si="13"/>
        <v>1800</v>
      </c>
      <c r="Z10" s="16">
        <f t="shared" si="13"/>
        <v>1960</v>
      </c>
      <c r="AA10" s="18">
        <f t="shared" si="14"/>
        <v>135</v>
      </c>
      <c r="AB10" s="18">
        <f t="shared" si="7"/>
        <v>180</v>
      </c>
      <c r="AC10" s="18">
        <f t="shared" si="8"/>
        <v>45</v>
      </c>
      <c r="AD10" s="18">
        <f t="shared" si="9"/>
        <v>0</v>
      </c>
      <c r="AE10" s="18">
        <f t="shared" si="10"/>
        <v>81</v>
      </c>
      <c r="AF10" s="20">
        <f t="shared" si="15"/>
        <v>1125</v>
      </c>
      <c r="AG10" s="20">
        <f t="shared" si="15"/>
        <v>3480</v>
      </c>
      <c r="AH10" s="20">
        <f t="shared" si="11"/>
        <v>2745</v>
      </c>
      <c r="AI10" s="20">
        <f t="shared" si="11"/>
        <v>1800</v>
      </c>
      <c r="AJ10" s="20">
        <f>Z10+AE10</f>
        <v>2041</v>
      </c>
      <c r="AL10" s="9">
        <f t="shared" si="16"/>
        <v>11191</v>
      </c>
    </row>
    <row r="11" spans="1:39" x14ac:dyDescent="0.3">
      <c r="A11" s="1"/>
      <c r="B11" s="2"/>
    </row>
    <row r="12" spans="1:39" x14ac:dyDescent="0.3">
      <c r="A12" s="1"/>
      <c r="B12" s="2"/>
      <c r="I12" t="s">
        <v>28</v>
      </c>
      <c r="K12" s="9">
        <f>MAX(K4:K10)</f>
        <v>22.1</v>
      </c>
      <c r="L12" s="10">
        <f>MAX(L4:L10)</f>
        <v>55</v>
      </c>
      <c r="M12" s="10">
        <f t="shared" ref="M12:P12" si="17">MAX(M4:M10)</f>
        <v>60</v>
      </c>
      <c r="N12" s="10">
        <f t="shared" si="17"/>
        <v>47</v>
      </c>
      <c r="O12" s="10">
        <f t="shared" si="17"/>
        <v>40</v>
      </c>
      <c r="P12" s="10">
        <f t="shared" si="17"/>
        <v>49</v>
      </c>
      <c r="Q12" s="10"/>
      <c r="R12" s="10"/>
      <c r="S12" s="10"/>
      <c r="T12" s="10"/>
      <c r="U12" s="10"/>
      <c r="V12" s="8">
        <f>MAX(V4:V10)</f>
        <v>1082.9000000000001</v>
      </c>
      <c r="W12" s="8">
        <f t="shared" ref="W12:AI12" si="18">MAX(W4:W10)</f>
        <v>3300</v>
      </c>
      <c r="X12" s="8">
        <f t="shared" si="18"/>
        <v>2700</v>
      </c>
      <c r="Y12" s="8">
        <f t="shared" si="18"/>
        <v>1800</v>
      </c>
      <c r="Z12" s="8">
        <f t="shared" si="18"/>
        <v>1960</v>
      </c>
      <c r="AA12" s="8">
        <f t="shared" si="18"/>
        <v>135</v>
      </c>
      <c r="AB12" s="8">
        <f t="shared" si="18"/>
        <v>180</v>
      </c>
      <c r="AC12" s="8">
        <f t="shared" si="18"/>
        <v>66.850000000000009</v>
      </c>
      <c r="AD12" s="8">
        <f t="shared" si="18"/>
        <v>0</v>
      </c>
      <c r="AE12" s="8">
        <f t="shared" si="18"/>
        <v>81</v>
      </c>
      <c r="AF12" s="8">
        <f t="shared" si="18"/>
        <v>1182.3500000000001</v>
      </c>
      <c r="AG12" s="8">
        <f t="shared" si="18"/>
        <v>3480</v>
      </c>
      <c r="AH12" s="8">
        <f t="shared" si="18"/>
        <v>2745</v>
      </c>
      <c r="AI12" s="8">
        <f t="shared" si="18"/>
        <v>1800</v>
      </c>
      <c r="AJ12" s="8">
        <f>MAX(AJ4:AJ10)</f>
        <v>2041</v>
      </c>
      <c r="AL12" s="8">
        <f>MAX(AL4:AL10)</f>
        <v>11191</v>
      </c>
      <c r="AM12" s="8"/>
    </row>
    <row r="13" spans="1:39" x14ac:dyDescent="0.3">
      <c r="A13" s="1"/>
      <c r="B13" s="2"/>
      <c r="I13" t="s">
        <v>29</v>
      </c>
      <c r="K13" s="9">
        <f>MIN(K4:K10)</f>
        <v>6.9</v>
      </c>
      <c r="L13" s="10">
        <f>MIN(L4:L10)</f>
        <v>39</v>
      </c>
      <c r="M13" s="10">
        <f t="shared" ref="M13:P13" si="19">MIN(M4:M10)</f>
        <v>40</v>
      </c>
      <c r="N13" s="10">
        <f t="shared" si="19"/>
        <v>33</v>
      </c>
      <c r="O13" s="10">
        <f t="shared" si="19"/>
        <v>20</v>
      </c>
      <c r="P13" s="10">
        <f t="shared" si="19"/>
        <v>18</v>
      </c>
      <c r="Q13" s="10"/>
      <c r="R13" s="10"/>
      <c r="S13" s="10"/>
      <c r="T13" s="10"/>
      <c r="U13" s="10"/>
      <c r="V13" s="8">
        <f>MIN(V4:V10)</f>
        <v>269.10000000000002</v>
      </c>
      <c r="W13" s="8">
        <f t="shared" ref="W13:AJ13" si="20">MIN(W4:W10)</f>
        <v>667.80000000000007</v>
      </c>
      <c r="X13" s="8">
        <f t="shared" si="20"/>
        <v>620.1</v>
      </c>
      <c r="Y13" s="8">
        <f t="shared" si="20"/>
        <v>477</v>
      </c>
      <c r="Z13" s="8">
        <f t="shared" si="20"/>
        <v>360</v>
      </c>
      <c r="AA13" s="8">
        <f t="shared" si="20"/>
        <v>0</v>
      </c>
      <c r="AB13" s="8">
        <f t="shared" si="20"/>
        <v>0</v>
      </c>
      <c r="AC13" s="8">
        <f t="shared" si="20"/>
        <v>0</v>
      </c>
      <c r="AD13" s="8">
        <f t="shared" si="20"/>
        <v>0</v>
      </c>
      <c r="AE13" s="8">
        <f t="shared" si="20"/>
        <v>0</v>
      </c>
      <c r="AF13" s="8">
        <f t="shared" si="20"/>
        <v>269.10000000000002</v>
      </c>
      <c r="AG13" s="8">
        <f t="shared" si="20"/>
        <v>683.7</v>
      </c>
      <c r="AH13" s="8">
        <f t="shared" si="20"/>
        <v>620.1</v>
      </c>
      <c r="AI13" s="8">
        <f t="shared" si="20"/>
        <v>477</v>
      </c>
      <c r="AJ13" s="8">
        <f t="shared" si="20"/>
        <v>360</v>
      </c>
      <c r="AL13" s="8">
        <f t="shared" ref="AL13" si="21">MIN(AL4:AL10)</f>
        <v>3219.75</v>
      </c>
      <c r="AM13" s="8"/>
    </row>
    <row r="14" spans="1:39" x14ac:dyDescent="0.3">
      <c r="B14" s="3"/>
      <c r="E14" s="3"/>
      <c r="F14" s="3"/>
      <c r="I14" t="s">
        <v>30</v>
      </c>
      <c r="K14" s="9">
        <f>AVERAGE(K4:K10)</f>
        <v>15.171428571428573</v>
      </c>
      <c r="L14" s="10">
        <f>AVERAGE(L4:L10)</f>
        <v>44.428571428571431</v>
      </c>
      <c r="M14" s="10">
        <f t="shared" ref="M14:P14" si="22">AVERAGE(M4:M10)</f>
        <v>48</v>
      </c>
      <c r="N14" s="10">
        <f t="shared" si="22"/>
        <v>41.142857142857146</v>
      </c>
      <c r="O14" s="10">
        <f t="shared" si="22"/>
        <v>34</v>
      </c>
      <c r="P14" s="10">
        <f t="shared" si="22"/>
        <v>36.571428571428569</v>
      </c>
      <c r="Q14" s="10"/>
      <c r="R14" s="10"/>
      <c r="S14" s="10"/>
      <c r="T14" s="10"/>
      <c r="U14" s="10"/>
      <c r="V14" s="8">
        <f>AVERAGE(V4:V10)</f>
        <v>688.82857142857142</v>
      </c>
      <c r="W14" s="8">
        <f t="shared" ref="W14:AJ14" si="23">AVERAGE(W4:W10)</f>
        <v>1995.9714285714285</v>
      </c>
      <c r="X14" s="8">
        <f t="shared" si="23"/>
        <v>1850.8714285714286</v>
      </c>
      <c r="Y14" s="8">
        <f t="shared" si="23"/>
        <v>1318.1428571428571</v>
      </c>
      <c r="Z14" s="8">
        <f t="shared" si="23"/>
        <v>1184.7714285714285</v>
      </c>
      <c r="AA14" s="8">
        <f t="shared" si="23"/>
        <v>41.478571428571435</v>
      </c>
      <c r="AB14" s="8">
        <f t="shared" si="23"/>
        <v>59.414285714285711</v>
      </c>
      <c r="AC14" s="8">
        <f t="shared" si="23"/>
        <v>18.992857142857144</v>
      </c>
      <c r="AD14" s="8">
        <f t="shared" si="23"/>
        <v>0</v>
      </c>
      <c r="AE14" s="8">
        <f t="shared" si="23"/>
        <v>21.24285714285714</v>
      </c>
      <c r="AF14" s="8">
        <f t="shared" si="23"/>
        <v>730.30714285714282</v>
      </c>
      <c r="AG14" s="8">
        <f t="shared" si="23"/>
        <v>2055.3857142857146</v>
      </c>
      <c r="AH14" s="8">
        <f t="shared" si="23"/>
        <v>1869.8642857142856</v>
      </c>
      <c r="AI14" s="8">
        <f t="shared" si="23"/>
        <v>1318.1428571428571</v>
      </c>
      <c r="AJ14" s="8">
        <f t="shared" si="23"/>
        <v>1206.0142857142857</v>
      </c>
      <c r="AL14" s="8">
        <f t="shared" ref="AL14" si="24">AVERAGE(AL4:AL10)</f>
        <v>7179.7142857142853</v>
      </c>
      <c r="AM14" s="8"/>
    </row>
    <row r="15" spans="1:39" x14ac:dyDescent="0.3">
      <c r="I15" t="s">
        <v>4</v>
      </c>
      <c r="L15">
        <f>SUM(L4:L10)</f>
        <v>311</v>
      </c>
      <c r="M15">
        <f t="shared" ref="M15:P15" si="25">SUM(M4:M10)</f>
        <v>336</v>
      </c>
      <c r="N15">
        <f t="shared" si="25"/>
        <v>288</v>
      </c>
      <c r="O15">
        <f>SUM(O4:O10)</f>
        <v>238</v>
      </c>
      <c r="P15">
        <f t="shared" si="25"/>
        <v>256</v>
      </c>
      <c r="V15" s="8">
        <f>SUM(V4:V10)</f>
        <v>4821.8</v>
      </c>
      <c r="W15" s="8">
        <f t="shared" ref="W15:AJ15" si="26">SUM(W4:W10)</f>
        <v>13971.8</v>
      </c>
      <c r="X15" s="8">
        <f t="shared" si="26"/>
        <v>12956.1</v>
      </c>
      <c r="Y15" s="8">
        <f t="shared" si="26"/>
        <v>9227</v>
      </c>
      <c r="Z15" s="8">
        <f t="shared" si="26"/>
        <v>8293.4</v>
      </c>
      <c r="AA15" s="8">
        <f t="shared" si="26"/>
        <v>290.35000000000002</v>
      </c>
      <c r="AB15" s="8">
        <f t="shared" si="26"/>
        <v>415.9</v>
      </c>
      <c r="AC15" s="8">
        <f t="shared" si="26"/>
        <v>132.95000000000002</v>
      </c>
      <c r="AD15" s="8">
        <f t="shared" si="26"/>
        <v>0</v>
      </c>
      <c r="AE15" s="8">
        <f t="shared" si="26"/>
        <v>148.69999999999999</v>
      </c>
      <c r="AF15" s="8">
        <f t="shared" si="26"/>
        <v>5112.1499999999996</v>
      </c>
      <c r="AG15" s="8">
        <f t="shared" si="26"/>
        <v>14387.7</v>
      </c>
      <c r="AH15" s="8">
        <f t="shared" si="26"/>
        <v>13089.05</v>
      </c>
      <c r="AI15" s="8">
        <f t="shared" si="26"/>
        <v>9227</v>
      </c>
      <c r="AJ15" s="8">
        <f t="shared" si="26"/>
        <v>8442.1</v>
      </c>
      <c r="AL15" s="8">
        <f t="shared" ref="AL15" si="27">SUM(AL4:AL10)</f>
        <v>50258</v>
      </c>
      <c r="AM15" s="8"/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DC1F-7A97-459A-80D3-1C4C0FC26B14}">
  <dimension ref="A3:B16"/>
  <sheetViews>
    <sheetView zoomScale="91" workbookViewId="0">
      <selection activeCell="J25" sqref="J2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10" width="8.77734375" bestFit="1" customWidth="1"/>
    <col min="11" max="13" width="9.77734375" bestFit="1" customWidth="1"/>
    <col min="14" max="14" width="10.77734375" bestFit="1" customWidth="1"/>
  </cols>
  <sheetData>
    <row r="3" spans="1:2" x14ac:dyDescent="0.3">
      <c r="A3" s="4" t="s">
        <v>6</v>
      </c>
      <c r="B3" t="s">
        <v>5</v>
      </c>
    </row>
    <row r="4" spans="1:2" x14ac:dyDescent="0.3">
      <c r="A4" s="5">
        <v>44927</v>
      </c>
      <c r="B4" s="7">
        <v>1.0151768945738795E-2</v>
      </c>
    </row>
    <row r="5" spans="1:2" x14ac:dyDescent="0.3">
      <c r="A5" s="5">
        <v>44958</v>
      </c>
      <c r="B5" s="7">
        <v>5.5651997360540072E-2</v>
      </c>
    </row>
    <row r="6" spans="1:2" x14ac:dyDescent="0.3">
      <c r="A6" s="5">
        <v>44986</v>
      </c>
      <c r="B6" s="7">
        <v>0.13005431196385969</v>
      </c>
    </row>
    <row r="7" spans="1:2" x14ac:dyDescent="0.3">
      <c r="A7" s="5">
        <v>45017</v>
      </c>
      <c r="B7" s="7">
        <v>8.1934927161057811E-2</v>
      </c>
    </row>
    <row r="8" spans="1:2" x14ac:dyDescent="0.3">
      <c r="A8" s="5">
        <v>45047</v>
      </c>
      <c r="B8" s="7">
        <v>4.6190548703111518E-2</v>
      </c>
    </row>
    <row r="9" spans="1:2" x14ac:dyDescent="0.3">
      <c r="A9" s="5">
        <v>45078</v>
      </c>
      <c r="B9" s="7">
        <v>5.3773920105578396E-2</v>
      </c>
    </row>
    <row r="10" spans="1:2" x14ac:dyDescent="0.3">
      <c r="A10" s="5">
        <v>45108</v>
      </c>
      <c r="B10" s="7">
        <v>0.11034972844018071</v>
      </c>
    </row>
    <row r="11" spans="1:2" x14ac:dyDescent="0.3">
      <c r="A11" s="5">
        <v>45139</v>
      </c>
      <c r="B11" s="7">
        <v>0.10816709811684685</v>
      </c>
    </row>
    <row r="12" spans="1:2" x14ac:dyDescent="0.3">
      <c r="A12" s="5">
        <v>45170</v>
      </c>
      <c r="B12" s="7">
        <v>6.6727577280341094E-2</v>
      </c>
    </row>
    <row r="13" spans="1:2" x14ac:dyDescent="0.3">
      <c r="A13" s="5">
        <v>45200</v>
      </c>
      <c r="B13" s="7">
        <v>4.3520633470382215E-2</v>
      </c>
    </row>
    <row r="14" spans="1:2" x14ac:dyDescent="0.3">
      <c r="A14" s="5">
        <v>45231</v>
      </c>
      <c r="B14" s="7">
        <v>5.4667275772803413E-2</v>
      </c>
    </row>
    <row r="15" spans="1:2" x14ac:dyDescent="0.3">
      <c r="A15" s="5">
        <v>45261</v>
      </c>
      <c r="B15" s="7">
        <v>0.2388102126795594</v>
      </c>
    </row>
    <row r="16" spans="1:2" x14ac:dyDescent="0.3">
      <c r="A16" s="6" t="s">
        <v>7</v>
      </c>
      <c r="B16" s="7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AF5C-4DB0-4664-BA4A-6D976EFDE8B2}">
  <dimension ref="A1:B14"/>
  <sheetViews>
    <sheetView workbookViewId="0">
      <selection activeCell="K22" sqref="K2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44927</v>
      </c>
      <c r="B2" s="2">
        <v>1000</v>
      </c>
    </row>
    <row r="3" spans="1:2" x14ac:dyDescent="0.3">
      <c r="A3" s="1">
        <v>44958</v>
      </c>
      <c r="B3" s="2">
        <v>5482</v>
      </c>
    </row>
    <row r="4" spans="1:2" x14ac:dyDescent="0.3">
      <c r="A4" s="1">
        <v>44986</v>
      </c>
      <c r="B4" s="2">
        <v>12811</v>
      </c>
    </row>
    <row r="5" spans="1:2" x14ac:dyDescent="0.3">
      <c r="A5" s="1">
        <v>45017</v>
      </c>
      <c r="B5" s="2">
        <v>8071</v>
      </c>
    </row>
    <row r="6" spans="1:2" x14ac:dyDescent="0.3">
      <c r="A6" s="1">
        <v>45047</v>
      </c>
      <c r="B6" s="2">
        <v>4550</v>
      </c>
    </row>
    <row r="7" spans="1:2" x14ac:dyDescent="0.3">
      <c r="A7" s="1">
        <v>45078</v>
      </c>
      <c r="B7" s="2">
        <v>5297</v>
      </c>
    </row>
    <row r="8" spans="1:2" x14ac:dyDescent="0.3">
      <c r="A8" s="1">
        <v>45108</v>
      </c>
      <c r="B8" s="2">
        <v>10870</v>
      </c>
    </row>
    <row r="9" spans="1:2" x14ac:dyDescent="0.3">
      <c r="A9" s="1">
        <v>45139</v>
      </c>
      <c r="B9" s="2">
        <v>10655</v>
      </c>
    </row>
    <row r="10" spans="1:2" x14ac:dyDescent="0.3">
      <c r="A10" s="1">
        <v>45170</v>
      </c>
      <c r="B10" s="2">
        <v>6573</v>
      </c>
    </row>
    <row r="11" spans="1:2" x14ac:dyDescent="0.3">
      <c r="A11" s="1">
        <v>45200</v>
      </c>
      <c r="B11" s="2">
        <v>4287</v>
      </c>
    </row>
    <row r="12" spans="1:2" x14ac:dyDescent="0.3">
      <c r="A12" s="1">
        <v>45231</v>
      </c>
      <c r="B12" s="2">
        <v>5385</v>
      </c>
    </row>
    <row r="13" spans="1:2" x14ac:dyDescent="0.3">
      <c r="A13" s="1">
        <v>45261</v>
      </c>
      <c r="B13" s="2">
        <v>23524</v>
      </c>
    </row>
    <row r="14" spans="1:2" x14ac:dyDescent="0.3">
      <c r="A14" t="s">
        <v>4</v>
      </c>
      <c r="B14" s="3">
        <f>SUBTOTAL(109,Table42[Sales])</f>
        <v>98505</v>
      </c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Aminah Okeowo</dc:creator>
  <cp:lastModifiedBy>Aminah Okeowo</cp:lastModifiedBy>
  <cp:lastPrinted>2025-07-13T01:52:51Z</cp:lastPrinted>
  <dcterms:created xsi:type="dcterms:W3CDTF">2025-07-12T22:02:36Z</dcterms:created>
  <dcterms:modified xsi:type="dcterms:W3CDTF">2026-03-31T10:58:57Z</dcterms:modified>
</cp:coreProperties>
</file>